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MotionPlanner\Doc\ConfigPrj\ExcelCfg\"/>
    </mc:Choice>
  </mc:AlternateContent>
  <xr:revisionPtr revIDLastSave="0" documentId="13_ncr:1_{C3937EB9-ABC8-4253-B84E-957B7102CB92}" xr6:coauthVersionLast="47" xr6:coauthVersionMax="47" xr10:uidLastSave="{00000000-0000-0000-0000-000000000000}"/>
  <bookViews>
    <workbookView xWindow="-108" yWindow="-108" windowWidth="23256" windowHeight="12456" activeTab="2" xr2:uid="{D0BA3158-A968-48A5-9590-611DD8CA9BD8}"/>
  </bookViews>
  <sheets>
    <sheet name="Machine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4" l="1"/>
  <c r="B25" i="4"/>
  <c r="B26" i="4"/>
  <c r="B27" i="4"/>
  <c r="B28" i="4"/>
  <c r="B29" i="4" s="1"/>
  <c r="B30" i="4" s="1"/>
  <c r="B31" i="4" s="1"/>
  <c r="B32" i="4" s="1"/>
  <c r="B33" i="4" s="1"/>
  <c r="B34" i="4" s="1"/>
  <c r="B23" i="4"/>
</calcChain>
</file>

<file path=xl/sharedStrings.xml><?xml version="1.0" encoding="utf-8"?>
<sst xmlns="http://schemas.openxmlformats.org/spreadsheetml/2006/main" count="542" uniqueCount="315">
  <si>
    <t>Descritpion</t>
  </si>
  <si>
    <t xml:space="preserve">Description </t>
  </si>
  <si>
    <t>Sensors_unity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</si>
  <si>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</si>
  <si>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</si>
  <si>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</si>
  <si>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</si>
  <si>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</si>
  <si>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</si>
  <si>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</si>
  <si>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</si>
  <si>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</si>
  <si>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</si>
  <si>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</si>
  <si>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</si>
  <si>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</si>
  <si>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</si>
  <si>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</si>
  <si>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</si>
  <si>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</si>
  <si>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</si>
  <si>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</si>
  <si>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</si>
  <si>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</si>
  <si>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</si>
  <si>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</si>
  <si>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</si>
  <si>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</si>
  <si>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</si>
  <si>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</si>
  <si>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</si>
  <si>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</si>
  <si>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</si>
  <si>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</si>
  <si>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</si>
  <si>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</si>
  <si>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</si>
  <si>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</si>
  <si>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</si>
  <si>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</si>
  <si>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</si>
  <si>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</si>
  <si>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</si>
  <si>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</si>
  <si>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</si>
  <si>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</si>
  <si>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</si>
  <si>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</si>
  <si>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</si>
  <si>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</si>
  <si>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</si>
  <si>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</si>
  <si>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</si>
  <si>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</si>
  <si>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</si>
  <si>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</si>
  <si>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</si>
  <si>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</si>
  <si>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</si>
  <si>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</si>
  <si>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</si>
  <si>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</si>
  <si>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</si>
  <si>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</si>
  <si>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</si>
  <si>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</si>
  <si>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</si>
  <si>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</si>
  <si>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</si>
  <si>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</si>
  <si>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</si>
  <si>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</si>
  <si>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</si>
  <si>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</si>
  <si>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</si>
  <si>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</si>
  <si>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</si>
  <si>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</si>
  <si>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</si>
  <si>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</si>
  <si>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</si>
  <si>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</si>
  <si>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</si>
  <si>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</si>
  <si>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</si>
  <si>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</si>
  <si>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</si>
  <si>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</si>
  <si>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</si>
  <si>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</si>
  <si>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</si>
  <si>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</si>
  <si>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</si>
  <si>
    <t>Signal ID (from APPSIG)</t>
  </si>
  <si>
    <t>Moteur X left position</t>
  </si>
  <si>
    <t>MTR_XL</t>
  </si>
  <si>
    <t>POS</t>
  </si>
  <si>
    <t>Interface ( the capteur value from your sensors)</t>
  </si>
  <si>
    <t>Moteur Y left position</t>
  </si>
  <si>
    <t>the parameter of the Device cfg is automatically get the Python Tool, as SNS_DVC_CFGID_{DVC_NAME}</t>
  </si>
  <si>
    <t>CL42T</t>
  </si>
  <si>
    <t>EMS22A</t>
  </si>
  <si>
    <t>MTR_Y</t>
  </si>
  <si>
    <t>MTR_Z</t>
  </si>
  <si>
    <t>Sys Option</t>
  </si>
  <si>
    <t>Enum 1</t>
  </si>
  <si>
    <t>Enum 2</t>
  </si>
  <si>
    <t>Configuration of sensors device motor XL</t>
  </si>
  <si>
    <t>ECDR_XL</t>
  </si>
  <si>
    <t>ECDR_XR</t>
  </si>
  <si>
    <t>ECDR_Y</t>
  </si>
  <si>
    <t>ECDR_Z</t>
  </si>
  <si>
    <t>NEMA17</t>
  </si>
  <si>
    <t>SNS_ECDR_XL</t>
  </si>
  <si>
    <t>SNS_ECDR_XR</t>
  </si>
  <si>
    <t>SNS_ECDR_Y</t>
  </si>
  <si>
    <t>SNS_ECDR_Z</t>
  </si>
  <si>
    <t>Machine X</t>
  </si>
  <si>
    <t>POC_1</t>
  </si>
  <si>
    <t>POC_2</t>
  </si>
  <si>
    <t>UNUSED</t>
  </si>
  <si>
    <t>Sensors_Device Name (In Code)</t>
  </si>
  <si>
    <t>Driver_Sensors_Name (In Code)</t>
  </si>
  <si>
    <t>SYS_MACHINE_ID</t>
  </si>
  <si>
    <t>SYS_OPT_SNS_ECDR_XL</t>
  </si>
  <si>
    <t>SYS_OPT_SNS_ECDR_XR</t>
  </si>
  <si>
    <t>SYS_OPT_SNS_ECDR_Y</t>
  </si>
  <si>
    <t>SYS_OPT_SNS_ECDR_Z</t>
  </si>
  <si>
    <t>Actuator_Device Name</t>
  </si>
  <si>
    <t>Actuator Interface Name</t>
  </si>
  <si>
    <t>PULSE</t>
  </si>
  <si>
    <t>Moteur Y Pulses</t>
  </si>
  <si>
    <t>Moteur Y Speed</t>
  </si>
  <si>
    <t>Moteur Z Pulses</t>
  </si>
  <si>
    <t>Moteur Z Speed</t>
  </si>
  <si>
    <t xml:space="preserve">CL42T Driver </t>
  </si>
  <si>
    <t>Cyclic In Fast Task</t>
  </si>
  <si>
    <t>ACT_MTR_XL</t>
  </si>
  <si>
    <t>ACT_MTR_XR</t>
  </si>
  <si>
    <t>ACT_MTR_Y</t>
  </si>
  <si>
    <t>ACT_MTR_Z</t>
  </si>
  <si>
    <t>Is Cyclic In Fast Task</t>
  </si>
  <si>
    <t>SYS_OPT_ACT_MTR_XL</t>
  </si>
  <si>
    <t>SYS_OPT_ACT_MTR_XR</t>
  </si>
  <si>
    <t>SYS_OPT_ACT_MTR_Y</t>
  </si>
  <si>
    <t>SYS_OPT_ACT_MTR_Z</t>
  </si>
  <si>
    <t>Disable All Mouvement From Gantry</t>
  </si>
  <si>
    <t>GANTRY_AXES_OFF</t>
  </si>
  <si>
    <t>GANTRY_AXE_X_OFF</t>
  </si>
  <si>
    <t>Disable Axe X Mouvement From Gantry</t>
  </si>
  <si>
    <t>GANTRY_AXE_Y_OFF</t>
  </si>
  <si>
    <t>Disable Axe Y Mouvement From Gantry</t>
  </si>
  <si>
    <t>GANTRY_AXE_Z_OFF</t>
  </si>
  <si>
    <t>Disable Axe Z Mouvement From Gantry</t>
  </si>
  <si>
    <t>GTRY_X</t>
  </si>
  <si>
    <t>GTRY_Y</t>
  </si>
  <si>
    <t>GTRY_Z</t>
  </si>
  <si>
    <t>GANTRY</t>
  </si>
  <si>
    <t xml:space="preserve">Gantry Axe X service </t>
  </si>
  <si>
    <t xml:space="preserve">Gantry Axe Z service </t>
  </si>
  <si>
    <t xml:space="preserve">Gantry Axe Y service </t>
  </si>
  <si>
    <t>LGC_GTRY_OPE_ERROR</t>
  </si>
  <si>
    <t>Gantry Health</t>
  </si>
  <si>
    <t>LGC_GTRY_X_OPE_ERROR</t>
  </si>
  <si>
    <t>LGC_GTRY_Y_OPE_ERROR</t>
  </si>
  <si>
    <t>LGC_GTRY_Z_OPE_ERROR</t>
  </si>
  <si>
    <t>MTR_XR</t>
  </si>
  <si>
    <t>Moteur XR Left Pulses</t>
  </si>
  <si>
    <t>Moteur XR Left Speed</t>
  </si>
  <si>
    <t>Moteur XL Left Pulses</t>
  </si>
  <si>
    <t>Moteur XL Left Speed</t>
  </si>
  <si>
    <t>Configuration of sensors device motor XL Default CL42T = 1</t>
  </si>
  <si>
    <t>Configuration of sensors device motor Z Default CL42T = 1</t>
  </si>
  <si>
    <t>Configuration of sensors device motor Y Default CL42T = 1</t>
  </si>
  <si>
    <t>Configuration of sensors device motor XR Default CL42T = 1</t>
  </si>
  <si>
    <t>MIN (float)</t>
  </si>
  <si>
    <t>MAX (float)</t>
  </si>
  <si>
    <t>Type</t>
  </si>
  <si>
    <t>Offset  (sint16)</t>
  </si>
  <si>
    <t>Factor (float)</t>
  </si>
  <si>
    <t>1.0</t>
  </si>
  <si>
    <t>uint16</t>
  </si>
  <si>
    <t>float32</t>
  </si>
  <si>
    <t>LGC_GTRY_ALGO_CPTE_TYPE</t>
  </si>
  <si>
    <t>LGC_GTRY_CALIB_TYPE</t>
  </si>
  <si>
    <t>LGC_GTRY_SENDITER_TYPE</t>
  </si>
  <si>
    <t>LGC_GTRY_AXE_X_PULSE_PER_MM</t>
  </si>
  <si>
    <t>LGC_GTRY_AXE_Y_PULSE_PER_MM</t>
  </si>
  <si>
    <t>LGC_GTRY_AXE_Z_PULSE_PER_MM</t>
  </si>
  <si>
    <t>LGC_GTRY_AXE_X_LEN</t>
  </si>
  <si>
    <t>LGC_GTRY_AXE_Y_LEN</t>
  </si>
  <si>
    <t>LGC_GTRY_AXE_Z_LEN</t>
  </si>
  <si>
    <t>44.0</t>
  </si>
  <si>
    <t>t_eGTRY_SendIterType</t>
  </si>
  <si>
    <t>t_eGTRY_CalibType</t>
  </si>
  <si>
    <t>t_eGTRY_AlgoComputeType</t>
  </si>
  <si>
    <t>pulse per mm for axe X</t>
  </si>
  <si>
    <t>pulse per mm for axe Y</t>
  </si>
  <si>
    <t>pulse per mm for axe Z</t>
  </si>
  <si>
    <t>len of axe X</t>
  </si>
  <si>
    <t>len of axe Y</t>
  </si>
  <si>
    <t>len of axe Z</t>
  </si>
  <si>
    <t>0.1</t>
  </si>
  <si>
    <t>PRM_LGC_GTRY_ALGO_CPTE_TYPE</t>
  </si>
  <si>
    <t>PRM_LGC_GTRY_CALIB_TYPE</t>
  </si>
  <si>
    <t>PRM_LGC_GTRY_SENDITER_TYPE</t>
  </si>
  <si>
    <t>PRM_LGC_GTRY_AXE_X_PULSE_PER_MM</t>
  </si>
  <si>
    <t>PRM_LGC_GTRY_AXE_Y_PULSE_PER_MM</t>
  </si>
  <si>
    <t>PRM_LGC_GTRY_AXE_Z_PULSE_PER_MM</t>
  </si>
  <si>
    <t>PRM_LGC_GTRY_AXE_X_LEN</t>
  </si>
  <si>
    <t>PRM_LGC_GTRY_AXE_Y_LEN</t>
  </si>
  <si>
    <t>PRM_LGC_GTRY_AXE_Z_LEN</t>
  </si>
  <si>
    <t>PRM_LGC_GTRY_PULSE_ITER_MAX</t>
  </si>
  <si>
    <t>PRM_LGC_GTRY_Y_RAMP_CTRL_KFACTOR</t>
  </si>
  <si>
    <t>PRM_LGC_GTRY_Y_RAMP_CTRL_SLP_SPD</t>
  </si>
  <si>
    <t>PRM_LGC_GTRY_Y_RAMP_CTRL_NB_STEP</t>
  </si>
  <si>
    <t>PRM_LGC_GTRY_Y_SPEED_MAX</t>
  </si>
  <si>
    <t>PRM_LGC_GTRY_Y_SPEED_MIN</t>
  </si>
  <si>
    <t>PRM_LGC_GTRY_Z_RAMP_CTRL_KFACTOR</t>
  </si>
  <si>
    <t>PRM_LGC_GTRY_Z_RAMP_CTRL_SLP_SPD</t>
  </si>
  <si>
    <t>PRM_LGC_GTRY_Z_RAMP_CTRL_NB_STEP</t>
  </si>
  <si>
    <t>PRM_LGC_GTRY_Z_SPEED_MAX</t>
  </si>
  <si>
    <t>PRM_LGC_GTRY_Z_SPEED_MIN</t>
  </si>
  <si>
    <t>2.0</t>
  </si>
  <si>
    <t>PRM_LGC_GTRY_X_RAMP_CTRL_KFACTOR</t>
  </si>
  <si>
    <t>PRM_LGC_GTRY_X_RAMP_CTRL_SLP_SPD</t>
  </si>
  <si>
    <t>PRM_LGC_GTRY_X_RAMP_CTRL_NB_STEP</t>
  </si>
  <si>
    <t>PRM_LGC_GTRY_X_SPEED_MAX</t>
  </si>
  <si>
    <t>PRM_LGC_GTRY_X_SPEED_MIN</t>
  </si>
  <si>
    <t>LGC_GTRY_PULSE_ITER_MAX</t>
  </si>
  <si>
    <t>LGC_GTRY_Y_RAMP_CTRL_KFACTOR</t>
  </si>
  <si>
    <t>LGC_GTRY_Y_RAMP_CTRL_SLOP_SPEED</t>
  </si>
  <si>
    <t>LGC_GTRY_Y_RAMP_CTRL_NB_STEP</t>
  </si>
  <si>
    <t>LGC_GTRY_Y_SPEED_MAX</t>
  </si>
  <si>
    <t>LGC_GTRY_Y_SPEED_MIN</t>
  </si>
  <si>
    <t>LGC_GTRY_Z_RAMP_CTRL_KFACTOR</t>
  </si>
  <si>
    <t>LGC_GTRY_Z_RAMP_CTRL_SLOP_SPEED</t>
  </si>
  <si>
    <t>LGC_GTRY_Z_RAMP_CTRL_NB_STEP</t>
  </si>
  <si>
    <t>LGC_GTRY_Z_SPEED_MAX</t>
  </si>
  <si>
    <t>LGC_GTRY_Z_SPEED_MIN</t>
  </si>
  <si>
    <t>LGC_GTRY_X_RAMP_CTRL_KFACTOR</t>
  </si>
  <si>
    <t>LGC_GTRY_X_RAMP_CTRL_SLOP_SPEED</t>
  </si>
  <si>
    <t>LGC_GTRY_X_RAMP_CTRL_NB_STEP</t>
  </si>
  <si>
    <t>LGC_GTRY_X_SPEED_MAX</t>
  </si>
  <si>
    <t>LGC_GTRY_X_SPEED_MIN</t>
  </si>
  <si>
    <t>LGC_GTRY_X_CALIB_OFFSET</t>
  </si>
  <si>
    <t>PRM_LGC_GTRY_X_CALIB_OFFSET</t>
  </si>
  <si>
    <t xml:space="preserve">How many millimeter apply in reverse after calibration done </t>
  </si>
  <si>
    <t>LGC_GTRY_Y_CALIB_OFFSET</t>
  </si>
  <si>
    <t>PRM_LGC_GTRY_Y_CALIB_OFFSET</t>
  </si>
  <si>
    <t>LGC_GTRY_Z_CALIB_OFFSET</t>
  </si>
  <si>
    <t>PRM_LGC_GTRY_Z_CALIB_OFFSET</t>
  </si>
  <si>
    <t>DEFAULT (float) , conversion not apply</t>
  </si>
  <si>
    <t>500.0</t>
  </si>
  <si>
    <t>TRIGTIME</t>
  </si>
  <si>
    <t>Moteur XL Left Trigger Time to plan sending pulse</t>
  </si>
  <si>
    <t>Moteur XR RightTrigger Time to plan sending pulse</t>
  </si>
  <si>
    <t>Moteur Y Trigger Time to plan sending pulse</t>
  </si>
  <si>
    <t>Moteur Z Left Trigger Time to plan sending pulse</t>
  </si>
  <si>
    <t>LGC_GTRY_AXE_Z_SAFE_HEIGHT</t>
  </si>
  <si>
    <t>150.0</t>
  </si>
  <si>
    <t>PRM_LGC_GTRY_AXE_X_SAFE_HEIGHT</t>
  </si>
  <si>
    <t>In Axe X priority, the height to reach before other axes can move</t>
  </si>
  <si>
    <t>LGC_GTRY_AXE_X_SAFE_HEIGHT</t>
  </si>
  <si>
    <t>LGC_GTRY_AXE_Y_SAFE_HEIGHT</t>
  </si>
  <si>
    <t>PRM_LGC_GTRY_AXE_Y_SAFE_HEIGHT</t>
  </si>
  <si>
    <t>PRM_LGC_GTRY_AXE_Z_SAFE_HEIGHT</t>
  </si>
  <si>
    <t>Debug Signal</t>
  </si>
  <si>
    <t>SNS_SNSITF_ECDR_XL_POS</t>
  </si>
  <si>
    <t>SNS_SNSITF_ECDR_XL_SPEED</t>
  </si>
  <si>
    <t>SNS_SNSITF_ECDR_XR_SPEED</t>
  </si>
  <si>
    <t>SNS_SNSITF_ECDR_XR_POS</t>
  </si>
  <si>
    <t>SNS_SNSITF_ECDR_Y_SPEED</t>
  </si>
  <si>
    <t>SNS_SNSITF_ECDR_Y_POS</t>
  </si>
  <si>
    <t>SNS_SNSITF_ECDR_Z_SPEED</t>
  </si>
  <si>
    <t>SNS_SNSITF_ECDR_Z_POS</t>
  </si>
  <si>
    <t>Get Debug Signal</t>
  </si>
  <si>
    <t>Set Debug Signal</t>
  </si>
  <si>
    <t>Ctrl Debug Signal</t>
  </si>
  <si>
    <t>ACT_ACTITF_SET_MTR_XL_PULSE</t>
  </si>
  <si>
    <t>ACT_ACTITF_SET_MTR_XL_SPEED</t>
  </si>
  <si>
    <t>ACT_ACTITF_SET_MTR_XL_TRIGTIME</t>
  </si>
  <si>
    <t>ACT_ACTITF_GET_MTR_XL_PULSE</t>
  </si>
  <si>
    <t>ACT_ACTITF_GET_MTR_XL_SPEED</t>
  </si>
  <si>
    <t>ACT_ACTITF_SET_MTR_XR_PULSE</t>
  </si>
  <si>
    <t>ACT_ACTITF_SET_MTR_XR_SPEED</t>
  </si>
  <si>
    <t>ACT_ACTITF_SET_MTR_XR_TRIGTIME</t>
  </si>
  <si>
    <t>ACT_ACTITF_SET_MTR_Y_PULSE</t>
  </si>
  <si>
    <t>ACT_ACTITF_SET_MTR_Y_SPEED</t>
  </si>
  <si>
    <t>ACT_ACTITF_SET_MTR_Y_TRIGTIME</t>
  </si>
  <si>
    <t>ACT_ACTITF_SET_MTR_Z_PULSE</t>
  </si>
  <si>
    <t>ACT_ACTITF_SET_MTR_Z_SPEED</t>
  </si>
  <si>
    <t>ACT_ACTITF_SET_MTR_Z_TRIGTIME</t>
  </si>
  <si>
    <t>ACT_ACTITF_GET_MTR_XR_PULSE</t>
  </si>
  <si>
    <t>ACT_ACTITF_GET_MTR_XR_SPEED</t>
  </si>
  <si>
    <t>ACT_ACTITF_GET_MTR_XR_TRIGTIME</t>
  </si>
  <si>
    <t>ACT_ACTITF_GET_MTR_Y_PULSE</t>
  </si>
  <si>
    <t>ACT_ACTITF_GET_MTR_Y_SPEED</t>
  </si>
  <si>
    <t>ACT_ACTITF_GET_MTR_Y_TRIGTIME</t>
  </si>
  <si>
    <t>ACT_ACTITF_GET_MTR_Z_PULSE</t>
  </si>
  <si>
    <t>ACT_ACTITF_GET_MTR_Z_SPEED</t>
  </si>
  <si>
    <t>ACT_ACTITF_GET_MTR_Z_TRIGTIME</t>
  </si>
  <si>
    <t>ACT_ACTITF_CTRL_MTR_XL_PULSE</t>
  </si>
  <si>
    <t>ACT_ACTITF_CTRL_MTR_XL_SPEED</t>
  </si>
  <si>
    <t>ACT_ACTITF_CTRL_MTR_XR_PULSE</t>
  </si>
  <si>
    <t>ACT_ACTITF_CTRL_MTR_XR_SPEED</t>
  </si>
  <si>
    <t>ACT_ACTITF_CTRL_MTR_XR_TRIGTIME</t>
  </si>
  <si>
    <t>ACT_ACTITF_CTRL_MTR_Y_PULSE</t>
  </si>
  <si>
    <t>ACT_ACTITF_CTRL_MTR_Y_SPEED</t>
  </si>
  <si>
    <t>ACT_ACTITF_CTRL_MTR_Y_TRIGTIME</t>
  </si>
  <si>
    <t>ACT_ACTITF_CTRL_MTR_Z_PULSE</t>
  </si>
  <si>
    <t>ACT_ACTITF_CTRL_MTR_Z_SPEED</t>
  </si>
  <si>
    <t>ACT_ACTITF_CTRL_MTR_Z_TRIGTIME</t>
  </si>
  <si>
    <t>ACT_ACTITF_GET_MTR_XL_TRIGTIME</t>
  </si>
  <si>
    <t>ACT_ACTITF_CTRL_MTR_XL_TRIGTIME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</si>
</sst>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horizontal="right"/>
    </xf>
    <xf numFmtId="0" fontId="0" fillId="2" borderId="1" xfId="0" applyFill="1" applyBorder="1"/>
    <xf numFmtId="0" fontId="2" fillId="0" borderId="0" xfId="0" applyFont="1"/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F3AD413-C93D-4034-A595-8F4D3127129C}" name="APPSYS_CfgMachine" displayName="APPSYS_CfgMachine" ref="C16:K18" totalsRowShown="0">
  <autoFilter ref="C16:K18" xr:uid="{4F3AD413-C93D-4034-A595-8F4D3127129C}"/>
  <tableColumns count="9">
    <tableColumn id="1" xr3:uid="{03C35B10-735A-4EAC-B208-C98F28758B36}" name="Machine X"/>
    <tableColumn id="2" xr3:uid="{0842E08E-2C79-4C26-BA2B-5B74D484EBFE}" name="SNS_ECDR_XL"/>
    <tableColumn id="3" xr3:uid="{777E3533-7984-46E5-A8AF-47FDDDDC90A7}" name="SNS_ECDR_XR"/>
    <tableColumn id="4" xr3:uid="{45FD232D-F453-4485-A846-50A823449D70}" name="SNS_ECDR_Y"/>
    <tableColumn id="5" xr3:uid="{9C629FFC-CB36-4D1C-990E-F49A4D811241}" name="SNS_ECDR_Z"/>
    <tableColumn id="6" xr3:uid="{34DF2EE2-9771-4551-89AC-819F1ED78879}" name="ACT_MTR_XL"/>
    <tableColumn id="7" xr3:uid="{AFC350FE-7848-41AB-8577-5E065B686317}" name="ACT_MTR_XR"/>
    <tableColumn id="8" xr3:uid="{BE1D41AE-7815-4F2B-AF3F-5CD2BFE53F14}" name="ACT_MTR_Y"/>
    <tableColumn id="9" xr3:uid="{52859476-7CB9-4642-9C8C-C1FFDE5F3236}" name="ACT_MTR_Z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C5B0C07-EA0B-4F26-80B4-7DC3356ED2C6}" name="APPSYS_SysOptListEnum" displayName="APPSYS_SysOptListEnum" ref="C28:E36" totalsRowShown="0">
  <autoFilter ref="C28:E36" xr:uid="{0C5B0C07-EA0B-4F26-80B4-7DC3356ED2C6}"/>
  <tableColumns count="3">
    <tableColumn id="1" xr3:uid="{2A074AFA-306F-495C-8734-4CA896C13212}" name="Sys Option"/>
    <tableColumn id="2" xr3:uid="{0C50EA10-6402-43B1-85FB-A53935A5C06F}" name="Enum 1"/>
    <tableColumn id="3" xr3:uid="{3811AEAE-F8EA-46B4-A5D2-A23A132FBAD1}" name="Enum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nsInterface" displayName="AppSns_SnsInterface" ref="B14:F22" totalsRowShown="0">
  <autoFilter ref="B14:F22" xr:uid="{4CCCD091-BFA9-457E-B7CF-818A4CEF566E}"/>
  <tableColumns count="5">
    <tableColumn id="2" xr3:uid="{F1815370-C5EA-4CBF-AB18-FFE79D8E0F87}" name="Sensors_Device Name (In Code)"/>
    <tableColumn id="1" xr3:uid="{FF3B7303-495E-422A-A0F7-7584C3047602}" name="Interface ( the capteur value from your sensors)"/>
    <tableColumn id="4" xr3:uid="{351EB0A6-A4BC-4FEE-8DB5-C9B4B18A468F}" name="Sensors_unity"/>
    <tableColumn id="6" xr3:uid="{38258AAF-7955-4E78-B6DC-222F1C28C051}" name="Debug Signal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List" displayName="AppSns_DriverList" ref="G46:K47" totalsRowShown="0">
  <autoFilter ref="G46:K47" xr:uid="{8313126F-76B4-4A3D-B3C2-3510B0E80F05}"/>
  <tableColumns count="5">
    <tableColumn id="1" xr3:uid="{9BE265D9-6C50-4DCB-A329-65F36392C87B}" name="Driver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9E0B4521-1F49-4DD5-BB70-923C015279DE}" name="Is Cyclic In Fast Task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J34:K43" totalsRowShown="0">
  <autoFilter ref="J34:K43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Interface" displayName="AppAct_ActInterface" ref="B5:G17" totalsRowShown="0">
  <autoFilter ref="B5:G17" xr:uid="{A2569BF0-4EC4-49E0-B8CB-1BDD997D0830}"/>
  <tableColumns count="6">
    <tableColumn id="2" xr3:uid="{9FF38BAD-E1E2-45D9-A3B8-F8B85BA01106}" name="Actuator_Device Name"/>
    <tableColumn id="1" xr3:uid="{C0713309-FADC-4D05-AD9D-26351020AE89}" name="Actuator Interface Name"/>
    <tableColumn id="5" xr3:uid="{1C883B9C-624A-49D9-BB50-760C9BFD23D7}" name="Set Debug Signal"/>
    <tableColumn id="4" xr3:uid="{689C6E73-2BDA-4D93-8C5E-D7673F46D9D7}" name="Get Debug Signal"/>
    <tableColumn id="6" xr3:uid="{1318B8B0-6633-44CE-9810-87D74DAE9A60}" name="Ctrl Debug Signal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List" displayName="AppAct_DriverList" ref="B28:F29" totalsRowShown="0">
  <autoFilter ref="B28:F29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61FDC0B0-94BD-4598-B717-D497102ED9E3}" name="Cyclic In Fast Task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M45" totalsRowShown="0">
  <autoFilter ref="C5:M45" xr:uid="{A6FB401A-9B85-4726-A494-B67658AD2F23}"/>
  <sortState xmlns:xlrd2="http://schemas.microsoft.com/office/spreadsheetml/2017/richdata2" ref="C6:M23">
    <sortCondition ref="D5:D23"/>
  </sortState>
  <tableColumns count="11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 (float)"/>
    <tableColumn id="4" xr3:uid="{06CC40FA-EEB5-4319-AD79-B390B078B611}" name="MAX (float)"/>
    <tableColumn id="5" xr3:uid="{25F2569F-2DE8-4504-B133-3591E5173A9A}" name="DEFAULT (float) , conversion not apply"/>
    <tableColumn id="10" xr3:uid="{64A36BDA-16F0-4B43-873D-5A444FC36BF9}" name="Type"/>
    <tableColumn id="11" xr3:uid="{E926178B-B734-453C-9C80-93132E46C649}" name="Factor (float)"/>
    <tableColumn id="9" xr3:uid="{2DAFF5E2-DE3B-4304-B605-66A3B3CF0F07}" name="Offset  (sint16)"/>
    <tableColumn id="8" xr3:uid="{AA8752E1-683B-4C53-AF9F-9998845C351A}" name="Signal ID (from APPSIG)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8" totalsRowShown="0">
  <autoFilter ref="B21:K38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G19" totalsRowShown="0">
  <autoFilter ref="F16:G19" xr:uid="{7F3EE644-AA5B-46B2-BCAD-DC36BC874E21}"/>
  <tableColumns count="2">
    <tableColumn id="1" xr3:uid="{AF4976B1-01AC-4B0A-A727-36D1488CCCE4}" name="SrvName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K36"/>
  <sheetViews>
    <sheetView topLeftCell="B7" zoomScale="92" workbookViewId="0">
      <selection activeCell="H18" sqref="H18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  <col min="6" max="6" width="21.88671875" customWidth="1"/>
    <col min="7" max="7" width="22.77734375" customWidth="1"/>
    <col min="8" max="8" width="23.44140625" customWidth="1"/>
    <col min="9" max="9" width="24.33203125" customWidth="1"/>
    <col min="10" max="10" width="24.77734375" customWidth="1"/>
    <col min="11" max="11" width="25.109375" customWidth="1"/>
  </cols>
  <sheetData>
    <row r="5" spans="3:11" x14ac:dyDescent="0.3">
      <c r="C5" t="s">
        <v>58</v>
      </c>
      <c r="D5" t="s">
        <v>59</v>
      </c>
      <c r="E5" t="s">
        <v>61</v>
      </c>
    </row>
    <row r="6" spans="3:11" x14ac:dyDescent="0.3">
      <c r="C6" s="1" t="s">
        <v>60</v>
      </c>
      <c r="D6" s="1" t="s">
        <v>60</v>
      </c>
      <c r="E6" s="1" t="s">
        <v>62</v>
      </c>
    </row>
    <row r="16" spans="3:11" x14ac:dyDescent="0.3">
      <c r="C16" t="s">
        <v>117</v>
      </c>
      <c r="D16" t="s">
        <v>113</v>
      </c>
      <c r="E16" t="s">
        <v>114</v>
      </c>
      <c r="F16" t="s">
        <v>115</v>
      </c>
      <c r="G16" t="s">
        <v>116</v>
      </c>
      <c r="H16" t="s">
        <v>137</v>
      </c>
      <c r="I16" t="s">
        <v>138</v>
      </c>
      <c r="J16" t="s">
        <v>139</v>
      </c>
      <c r="K16" t="s">
        <v>140</v>
      </c>
    </row>
    <row r="17" spans="3:11" x14ac:dyDescent="0.3">
      <c r="C17" t="s">
        <v>118</v>
      </c>
      <c r="D17" t="s">
        <v>112</v>
      </c>
      <c r="E17" t="s">
        <v>112</v>
      </c>
      <c r="F17" t="s">
        <v>112</v>
      </c>
      <c r="G17" t="s">
        <v>112</v>
      </c>
      <c r="H17" t="s">
        <v>100</v>
      </c>
      <c r="I17" t="s">
        <v>100</v>
      </c>
      <c r="J17" t="s">
        <v>100</v>
      </c>
      <c r="K17" t="s">
        <v>100</v>
      </c>
    </row>
    <row r="18" spans="3:11" x14ac:dyDescent="0.3">
      <c r="C18" t="s">
        <v>119</v>
      </c>
      <c r="D18" t="s">
        <v>120</v>
      </c>
      <c r="E18" t="s">
        <v>120</v>
      </c>
      <c r="F18" t="s">
        <v>120</v>
      </c>
      <c r="G18" t="s">
        <v>120</v>
      </c>
      <c r="H18" t="s">
        <v>100</v>
      </c>
      <c r="I18" t="s">
        <v>100</v>
      </c>
      <c r="J18" t="s">
        <v>100</v>
      </c>
      <c r="K18" t="s">
        <v>100</v>
      </c>
    </row>
    <row r="28" spans="3:11" x14ac:dyDescent="0.3">
      <c r="C28" t="s">
        <v>104</v>
      </c>
      <c r="D28" t="s">
        <v>105</v>
      </c>
      <c r="E28" t="s">
        <v>106</v>
      </c>
    </row>
    <row r="29" spans="3:11" x14ac:dyDescent="0.3">
      <c r="C29" t="s">
        <v>113</v>
      </c>
      <c r="D29" t="s">
        <v>112</v>
      </c>
      <c r="E29" t="s">
        <v>101</v>
      </c>
    </row>
    <row r="30" spans="3:11" x14ac:dyDescent="0.3">
      <c r="C30" t="s">
        <v>114</v>
      </c>
      <c r="D30" t="s">
        <v>112</v>
      </c>
      <c r="E30" t="s">
        <v>101</v>
      </c>
    </row>
    <row r="31" spans="3:11" x14ac:dyDescent="0.3">
      <c r="C31" t="s">
        <v>115</v>
      </c>
      <c r="D31" t="s">
        <v>112</v>
      </c>
      <c r="E31" t="s">
        <v>101</v>
      </c>
    </row>
    <row r="32" spans="3:11" x14ac:dyDescent="0.3">
      <c r="C32" t="s">
        <v>116</v>
      </c>
      <c r="D32" t="s">
        <v>112</v>
      </c>
      <c r="E32" t="s">
        <v>101</v>
      </c>
    </row>
    <row r="33" spans="3:4" x14ac:dyDescent="0.3">
      <c r="C33" t="s">
        <v>137</v>
      </c>
      <c r="D33" t="s">
        <v>100</v>
      </c>
    </row>
    <row r="34" spans="3:4" x14ac:dyDescent="0.3">
      <c r="C34" t="s">
        <v>138</v>
      </c>
      <c r="D34" t="s">
        <v>100</v>
      </c>
    </row>
    <row r="35" spans="3:4" x14ac:dyDescent="0.3">
      <c r="C35" t="s">
        <v>139</v>
      </c>
      <c r="D35" t="s">
        <v>100</v>
      </c>
    </row>
    <row r="36" spans="3:4" x14ac:dyDescent="0.3">
      <c r="C36" t="s">
        <v>140</v>
      </c>
      <c r="D36" t="s">
        <v>100</v>
      </c>
    </row>
  </sheetData>
  <phoneticPr fontId="1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13:M46"/>
  <sheetViews>
    <sheetView topLeftCell="C8" zoomScale="141" zoomScaleNormal="46" workbookViewId="0">
      <selection activeCell="E15" sqref="E15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13" spans="2:6" x14ac:dyDescent="0.3">
      <c r="B13" t="s">
        <v>99</v>
      </c>
    </row>
    <row r="14" spans="2:6" x14ac:dyDescent="0.3">
      <c r="B14" t="s">
        <v>121</v>
      </c>
      <c r="C14" t="s">
        <v>97</v>
      </c>
      <c r="D14" t="s">
        <v>2</v>
      </c>
      <c r="E14" t="s">
        <v>267</v>
      </c>
      <c r="F14" t="s">
        <v>0</v>
      </c>
    </row>
    <row r="15" spans="2:6" x14ac:dyDescent="0.3">
      <c r="B15" t="s">
        <v>108</v>
      </c>
      <c r="C15" t="s">
        <v>96</v>
      </c>
      <c r="D15" t="s">
        <v>28</v>
      </c>
      <c r="E15" t="s">
        <v>268</v>
      </c>
      <c r="F15" t="s">
        <v>98</v>
      </c>
    </row>
    <row r="16" spans="2:6" x14ac:dyDescent="0.3">
      <c r="B16" t="s">
        <v>108</v>
      </c>
      <c r="C16" t="s">
        <v>26</v>
      </c>
      <c r="D16" t="s">
        <v>31</v>
      </c>
      <c r="E16" t="s">
        <v>269</v>
      </c>
      <c r="F16" t="s">
        <v>98</v>
      </c>
    </row>
    <row r="17" spans="2:13" x14ac:dyDescent="0.3">
      <c r="B17" t="s">
        <v>109</v>
      </c>
      <c r="C17" t="s">
        <v>96</v>
      </c>
      <c r="D17" t="s">
        <v>28</v>
      </c>
      <c r="E17" t="s">
        <v>271</v>
      </c>
      <c r="F17" t="s">
        <v>94</v>
      </c>
    </row>
    <row r="18" spans="2:13" x14ac:dyDescent="0.3">
      <c r="B18" t="s">
        <v>109</v>
      </c>
      <c r="C18" t="s">
        <v>26</v>
      </c>
      <c r="D18" t="s">
        <v>31</v>
      </c>
      <c r="E18" t="s">
        <v>270</v>
      </c>
      <c r="F18" t="s">
        <v>98</v>
      </c>
    </row>
    <row r="19" spans="2:13" x14ac:dyDescent="0.3">
      <c r="B19" t="s">
        <v>110</v>
      </c>
      <c r="C19" t="s">
        <v>96</v>
      </c>
      <c r="D19" t="s">
        <v>28</v>
      </c>
      <c r="E19" t="s">
        <v>273</v>
      </c>
      <c r="F19" t="s">
        <v>94</v>
      </c>
    </row>
    <row r="20" spans="2:13" x14ac:dyDescent="0.3">
      <c r="B20" t="s">
        <v>110</v>
      </c>
      <c r="C20" t="s">
        <v>26</v>
      </c>
      <c r="D20" t="s">
        <v>31</v>
      </c>
      <c r="E20" t="s">
        <v>272</v>
      </c>
      <c r="F20" t="s">
        <v>98</v>
      </c>
    </row>
    <row r="21" spans="2:13" x14ac:dyDescent="0.3">
      <c r="B21" t="s">
        <v>111</v>
      </c>
      <c r="C21" t="s">
        <v>96</v>
      </c>
      <c r="D21" t="s">
        <v>28</v>
      </c>
      <c r="E21" t="s">
        <v>275</v>
      </c>
      <c r="F21" t="s">
        <v>94</v>
      </c>
    </row>
    <row r="22" spans="2:13" x14ac:dyDescent="0.3">
      <c r="B22" t="s">
        <v>111</v>
      </c>
      <c r="C22" t="s">
        <v>26</v>
      </c>
      <c r="D22" t="s">
        <v>31</v>
      </c>
      <c r="E22" t="s">
        <v>274</v>
      </c>
      <c r="F22" t="s">
        <v>98</v>
      </c>
    </row>
    <row r="24" spans="2:13" x14ac:dyDescent="0.3">
      <c r="L24" t="s">
        <v>10</v>
      </c>
      <c r="M24" t="s">
        <v>9</v>
      </c>
    </row>
    <row r="26" spans="2:13" x14ac:dyDescent="0.3">
      <c r="L26" t="s">
        <v>19</v>
      </c>
      <c r="M26" t="s">
        <v>20</v>
      </c>
    </row>
    <row r="34" spans="6:11" x14ac:dyDescent="0.3">
      <c r="J34" t="s">
        <v>5</v>
      </c>
      <c r="K34" t="s">
        <v>6</v>
      </c>
    </row>
    <row r="35" spans="6:11" x14ac:dyDescent="0.3">
      <c r="J35" t="s">
        <v>7</v>
      </c>
      <c r="K35" t="s">
        <v>8</v>
      </c>
    </row>
    <row r="36" spans="6:11" x14ac:dyDescent="0.3">
      <c r="J36" t="s">
        <v>24</v>
      </c>
      <c r="K36" t="s">
        <v>11</v>
      </c>
    </row>
    <row r="37" spans="6:11" x14ac:dyDescent="0.3">
      <c r="J37" t="s">
        <v>25</v>
      </c>
      <c r="K37" t="s">
        <v>12</v>
      </c>
    </row>
    <row r="38" spans="6:11" x14ac:dyDescent="0.3">
      <c r="J38" t="s">
        <v>26</v>
      </c>
      <c r="K38" t="s">
        <v>13</v>
      </c>
    </row>
    <row r="39" spans="6:11" x14ac:dyDescent="0.3">
      <c r="J39" t="s">
        <v>27</v>
      </c>
      <c r="K39" t="s">
        <v>14</v>
      </c>
    </row>
    <row r="40" spans="6:11" x14ac:dyDescent="0.3">
      <c r="J40" t="s">
        <v>28</v>
      </c>
      <c r="K40" t="s">
        <v>15</v>
      </c>
    </row>
    <row r="41" spans="6:11" x14ac:dyDescent="0.3">
      <c r="J41" t="s">
        <v>29</v>
      </c>
      <c r="K41" t="s">
        <v>16</v>
      </c>
    </row>
    <row r="42" spans="6:11" x14ac:dyDescent="0.3">
      <c r="J42" t="s">
        <v>30</v>
      </c>
      <c r="K42" t="s">
        <v>17</v>
      </c>
    </row>
    <row r="43" spans="6:11" x14ac:dyDescent="0.3">
      <c r="J43" t="s">
        <v>31</v>
      </c>
      <c r="K43" t="s">
        <v>18</v>
      </c>
    </row>
    <row r="46" spans="6:11" x14ac:dyDescent="0.3">
      <c r="F46" s="4"/>
      <c r="G46" t="s">
        <v>122</v>
      </c>
      <c r="H46" t="s">
        <v>3</v>
      </c>
      <c r="I46" t="s">
        <v>4</v>
      </c>
      <c r="J46" t="s">
        <v>141</v>
      </c>
      <c r="K46" t="s">
        <v>6</v>
      </c>
    </row>
  </sheetData>
  <phoneticPr fontId="1" type="noConversion"/>
  <dataValidations count="1">
    <dataValidation type="list" allowBlank="1" showInputMessage="1" showErrorMessage="1" sqref="D15:D22" xr:uid="{166EF16C-46C1-48BE-8EFB-BA550AC5D995}">
      <formula1>$J$35:$J$43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K29"/>
  <sheetViews>
    <sheetView tabSelected="1" topLeftCell="B1" zoomScale="96" workbookViewId="0">
      <selection activeCell="F8" sqref="F8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60.21875" customWidth="1"/>
    <col min="5" max="5" width="51.77734375" customWidth="1"/>
    <col min="6" max="6" width="37" customWidth="1"/>
    <col min="7" max="7" width="49.109375" customWidth="1"/>
    <col min="9" max="9" width="24.88671875" customWidth="1"/>
    <col min="10" max="10" width="28.109375" customWidth="1"/>
  </cols>
  <sheetData>
    <row r="5" spans="2:11" x14ac:dyDescent="0.3">
      <c r="B5" t="s">
        <v>128</v>
      </c>
      <c r="C5" t="s">
        <v>129</v>
      </c>
      <c r="D5" t="s">
        <v>277</v>
      </c>
      <c r="E5" t="s">
        <v>276</v>
      </c>
      <c r="F5" t="s">
        <v>278</v>
      </c>
      <c r="G5" t="s">
        <v>1</v>
      </c>
      <c r="J5" t="s">
        <v>19</v>
      </c>
      <c r="K5" t="s">
        <v>20</v>
      </c>
    </row>
    <row r="6" spans="2:11" x14ac:dyDescent="0.3">
      <c r="B6" t="s">
        <v>95</v>
      </c>
      <c r="C6" t="s">
        <v>130</v>
      </c>
      <c r="D6" t="s">
        <v>279</v>
      </c>
      <c r="E6" t="s">
        <v>282</v>
      </c>
      <c r="F6" t="s">
        <v>302</v>
      </c>
      <c r="G6" t="s">
        <v>169</v>
      </c>
    </row>
    <row r="7" spans="2:11" x14ac:dyDescent="0.3">
      <c r="B7" t="s">
        <v>95</v>
      </c>
      <c r="C7" t="s">
        <v>26</v>
      </c>
      <c r="D7" t="s">
        <v>280</v>
      </c>
      <c r="E7" t="s">
        <v>283</v>
      </c>
      <c r="F7" t="s">
        <v>303</v>
      </c>
      <c r="G7" t="s">
        <v>170</v>
      </c>
      <c r="J7" t="s">
        <v>23</v>
      </c>
      <c r="K7" t="s">
        <v>9</v>
      </c>
    </row>
    <row r="8" spans="2:11" x14ac:dyDescent="0.3">
      <c r="B8" t="s">
        <v>95</v>
      </c>
      <c r="C8" t="s">
        <v>254</v>
      </c>
      <c r="D8" t="s">
        <v>281</v>
      </c>
      <c r="E8" t="s">
        <v>313</v>
      </c>
      <c r="F8" t="s">
        <v>314</v>
      </c>
      <c r="G8" t="s">
        <v>255</v>
      </c>
    </row>
    <row r="9" spans="2:11" x14ac:dyDescent="0.3">
      <c r="B9" t="s">
        <v>166</v>
      </c>
      <c r="C9" t="s">
        <v>130</v>
      </c>
      <c r="D9" t="s">
        <v>284</v>
      </c>
      <c r="E9" t="s">
        <v>293</v>
      </c>
      <c r="F9" t="s">
        <v>304</v>
      </c>
      <c r="G9" t="s">
        <v>167</v>
      </c>
    </row>
    <row r="10" spans="2:11" x14ac:dyDescent="0.3">
      <c r="B10" t="s">
        <v>166</v>
      </c>
      <c r="C10" t="s">
        <v>26</v>
      </c>
      <c r="D10" t="s">
        <v>285</v>
      </c>
      <c r="E10" t="s">
        <v>294</v>
      </c>
      <c r="F10" t="s">
        <v>305</v>
      </c>
      <c r="G10" t="s">
        <v>168</v>
      </c>
    </row>
    <row r="11" spans="2:11" x14ac:dyDescent="0.3">
      <c r="B11" t="s">
        <v>166</v>
      </c>
      <c r="C11" t="s">
        <v>254</v>
      </c>
      <c r="D11" t="s">
        <v>286</v>
      </c>
      <c r="E11" t="s">
        <v>295</v>
      </c>
      <c r="F11" t="s">
        <v>306</v>
      </c>
      <c r="G11" t="s">
        <v>256</v>
      </c>
    </row>
    <row r="12" spans="2:11" x14ac:dyDescent="0.3">
      <c r="B12" t="s">
        <v>102</v>
      </c>
      <c r="C12" t="s">
        <v>130</v>
      </c>
      <c r="D12" t="s">
        <v>287</v>
      </c>
      <c r="E12" t="s">
        <v>296</v>
      </c>
      <c r="F12" t="s">
        <v>307</v>
      </c>
      <c r="G12" t="s">
        <v>131</v>
      </c>
    </row>
    <row r="13" spans="2:11" x14ac:dyDescent="0.3">
      <c r="B13" t="s">
        <v>102</v>
      </c>
      <c r="C13" t="s">
        <v>26</v>
      </c>
      <c r="D13" t="s">
        <v>288</v>
      </c>
      <c r="E13" t="s">
        <v>297</v>
      </c>
      <c r="F13" t="s">
        <v>308</v>
      </c>
      <c r="G13" t="s">
        <v>132</v>
      </c>
    </row>
    <row r="14" spans="2:11" x14ac:dyDescent="0.3">
      <c r="B14" t="s">
        <v>102</v>
      </c>
      <c r="C14" t="s">
        <v>254</v>
      </c>
      <c r="D14" t="s">
        <v>289</v>
      </c>
      <c r="E14" t="s">
        <v>298</v>
      </c>
      <c r="F14" t="s">
        <v>309</v>
      </c>
      <c r="G14" t="s">
        <v>257</v>
      </c>
    </row>
    <row r="15" spans="2:11" x14ac:dyDescent="0.3">
      <c r="B15" t="s">
        <v>103</v>
      </c>
      <c r="C15" t="s">
        <v>130</v>
      </c>
      <c r="D15" t="s">
        <v>290</v>
      </c>
      <c r="E15" t="s">
        <v>299</v>
      </c>
      <c r="F15" t="s">
        <v>310</v>
      </c>
      <c r="G15" t="s">
        <v>133</v>
      </c>
    </row>
    <row r="16" spans="2:11" x14ac:dyDescent="0.3">
      <c r="B16" t="s">
        <v>103</v>
      </c>
      <c r="C16" t="s">
        <v>26</v>
      </c>
      <c r="D16" t="s">
        <v>291</v>
      </c>
      <c r="E16" t="s">
        <v>300</v>
      </c>
      <c r="F16" t="s">
        <v>311</v>
      </c>
      <c r="G16" t="s">
        <v>134</v>
      </c>
    </row>
    <row r="17" spans="2:7" x14ac:dyDescent="0.3">
      <c r="B17" t="s">
        <v>103</v>
      </c>
      <c r="C17" t="s">
        <v>254</v>
      </c>
      <c r="D17" t="s">
        <v>292</v>
      </c>
      <c r="E17" t="s">
        <v>301</v>
      </c>
      <c r="F17" t="s">
        <v>312</v>
      </c>
      <c r="G17" t="s">
        <v>258</v>
      </c>
    </row>
    <row r="22" spans="2:7" x14ac:dyDescent="0.3">
      <c r="D22" s="5"/>
    </row>
    <row r="23" spans="2:7" x14ac:dyDescent="0.3">
      <c r="D23" s="5"/>
    </row>
    <row r="28" spans="2:7" x14ac:dyDescent="0.3">
      <c r="B28" t="s">
        <v>21</v>
      </c>
      <c r="C28" t="s">
        <v>3</v>
      </c>
      <c r="D28" t="s">
        <v>4</v>
      </c>
      <c r="E28" t="s">
        <v>136</v>
      </c>
      <c r="F28" t="s">
        <v>22</v>
      </c>
    </row>
    <row r="29" spans="2:7" x14ac:dyDescent="0.3">
      <c r="B29" t="s">
        <v>100</v>
      </c>
      <c r="C29" t="s">
        <v>23</v>
      </c>
      <c r="D29" t="s">
        <v>23</v>
      </c>
      <c r="E29" t="s">
        <v>23</v>
      </c>
      <c r="F29" t="s">
        <v>135</v>
      </c>
    </row>
  </sheetData>
  <phoneticPr fontId="1" type="noConversion"/>
  <dataValidations disablePrompts="1" count="1">
    <dataValidation type="list" allowBlank="1" showInputMessage="1" showErrorMessage="1" sqref="C29:E29" xr:uid="{B38886ED-AB81-4A11-86B2-0263B000D2C1}">
      <formula1>$J$7:$K$7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1:M45"/>
  <sheetViews>
    <sheetView topLeftCell="A25" zoomScale="106" workbookViewId="0">
      <selection activeCell="L43" sqref="L43:L45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42.88671875" customWidth="1"/>
    <col min="9" max="9" width="19.5546875" customWidth="1"/>
    <col min="10" max="10" width="17.6640625" customWidth="1"/>
    <col min="12" max="12" width="43.6640625" customWidth="1"/>
    <col min="13" max="13" width="61.44140625" customWidth="1"/>
    <col min="14" max="14" width="17.5546875" customWidth="1"/>
  </cols>
  <sheetData>
    <row r="1" spans="3:13" x14ac:dyDescent="0.3">
      <c r="I1" t="s">
        <v>34</v>
      </c>
    </row>
    <row r="5" spans="3:13" x14ac:dyDescent="0.3">
      <c r="C5" t="s">
        <v>64</v>
      </c>
      <c r="D5" t="s">
        <v>65</v>
      </c>
      <c r="E5" t="s">
        <v>66</v>
      </c>
      <c r="F5" t="s">
        <v>175</v>
      </c>
      <c r="G5" t="s">
        <v>176</v>
      </c>
      <c r="H5" t="s">
        <v>252</v>
      </c>
      <c r="I5" t="s">
        <v>177</v>
      </c>
      <c r="J5" t="s">
        <v>179</v>
      </c>
      <c r="K5" t="s">
        <v>178</v>
      </c>
      <c r="L5" t="s">
        <v>93</v>
      </c>
      <c r="M5" t="s">
        <v>6</v>
      </c>
    </row>
    <row r="6" spans="3:13" x14ac:dyDescent="0.3">
      <c r="D6" t="s">
        <v>229</v>
      </c>
      <c r="E6" s="2">
        <v>1</v>
      </c>
      <c r="F6">
        <v>1</v>
      </c>
      <c r="G6">
        <v>65535</v>
      </c>
      <c r="H6">
        <v>1500</v>
      </c>
      <c r="I6" t="s">
        <v>181</v>
      </c>
      <c r="J6" t="s">
        <v>180</v>
      </c>
      <c r="K6">
        <v>0</v>
      </c>
      <c r="L6" t="s">
        <v>212</v>
      </c>
    </row>
    <row r="7" spans="3:13" x14ac:dyDescent="0.3">
      <c r="D7" t="s">
        <v>240</v>
      </c>
      <c r="E7" s="2">
        <v>1</v>
      </c>
      <c r="F7">
        <v>0</v>
      </c>
      <c r="G7">
        <v>65535</v>
      </c>
      <c r="H7">
        <v>2</v>
      </c>
      <c r="I7" t="s">
        <v>182</v>
      </c>
      <c r="J7" t="s">
        <v>180</v>
      </c>
      <c r="K7">
        <v>0</v>
      </c>
      <c r="L7" t="s">
        <v>224</v>
      </c>
    </row>
    <row r="8" spans="3:13" x14ac:dyDescent="0.3">
      <c r="D8" t="s">
        <v>241</v>
      </c>
      <c r="E8" s="2">
        <v>1</v>
      </c>
      <c r="F8">
        <v>0</v>
      </c>
      <c r="G8">
        <v>65535</v>
      </c>
      <c r="H8">
        <v>65300</v>
      </c>
      <c r="I8" t="s">
        <v>182</v>
      </c>
      <c r="J8" t="s">
        <v>223</v>
      </c>
      <c r="K8">
        <v>0</v>
      </c>
      <c r="L8" t="s">
        <v>225</v>
      </c>
    </row>
    <row r="9" spans="3:13" x14ac:dyDescent="0.3">
      <c r="D9" t="s">
        <v>242</v>
      </c>
      <c r="E9" s="2">
        <v>1</v>
      </c>
      <c r="F9">
        <v>0</v>
      </c>
      <c r="G9">
        <v>65535</v>
      </c>
      <c r="H9">
        <v>50</v>
      </c>
      <c r="I9" t="s">
        <v>181</v>
      </c>
      <c r="J9" t="s">
        <v>180</v>
      </c>
      <c r="K9">
        <v>0</v>
      </c>
      <c r="L9" t="s">
        <v>226</v>
      </c>
    </row>
    <row r="10" spans="3:13" x14ac:dyDescent="0.3">
      <c r="D10" t="s">
        <v>243</v>
      </c>
      <c r="E10" s="2">
        <v>1</v>
      </c>
      <c r="F10">
        <v>1</v>
      </c>
      <c r="G10">
        <v>65535</v>
      </c>
      <c r="H10">
        <v>10000</v>
      </c>
      <c r="I10" t="s">
        <v>181</v>
      </c>
      <c r="J10" t="s">
        <v>180</v>
      </c>
      <c r="K10">
        <v>0</v>
      </c>
      <c r="L10" t="s">
        <v>227</v>
      </c>
    </row>
    <row r="11" spans="3:13" x14ac:dyDescent="0.3">
      <c r="D11" t="s">
        <v>244</v>
      </c>
      <c r="E11" s="2">
        <v>1</v>
      </c>
      <c r="F11">
        <v>1</v>
      </c>
      <c r="G11">
        <v>65535</v>
      </c>
      <c r="H11">
        <v>600</v>
      </c>
      <c r="I11" t="s">
        <v>181</v>
      </c>
      <c r="J11" t="s">
        <v>180</v>
      </c>
      <c r="K11">
        <v>0</v>
      </c>
      <c r="L11" t="s">
        <v>228</v>
      </c>
    </row>
    <row r="12" spans="3:13" x14ac:dyDescent="0.3">
      <c r="D12" t="s">
        <v>245</v>
      </c>
      <c r="E12" s="2">
        <v>1</v>
      </c>
      <c r="F12">
        <v>0</v>
      </c>
      <c r="G12">
        <v>65535</v>
      </c>
      <c r="H12">
        <v>5</v>
      </c>
      <c r="I12" t="s">
        <v>182</v>
      </c>
      <c r="J12" t="s">
        <v>202</v>
      </c>
      <c r="K12">
        <v>0</v>
      </c>
      <c r="L12" t="s">
        <v>246</v>
      </c>
      <c r="M12" t="s">
        <v>247</v>
      </c>
    </row>
    <row r="13" spans="3:13" x14ac:dyDescent="0.3">
      <c r="D13" t="s">
        <v>230</v>
      </c>
      <c r="E13" s="2">
        <v>1</v>
      </c>
      <c r="F13">
        <v>0</v>
      </c>
      <c r="G13">
        <v>65535</v>
      </c>
      <c r="H13">
        <v>2</v>
      </c>
      <c r="I13" t="s">
        <v>182</v>
      </c>
      <c r="J13" t="s">
        <v>180</v>
      </c>
      <c r="K13">
        <v>0</v>
      </c>
      <c r="L13" t="s">
        <v>213</v>
      </c>
    </row>
    <row r="14" spans="3:13" x14ac:dyDescent="0.3">
      <c r="D14" t="s">
        <v>231</v>
      </c>
      <c r="E14" s="2">
        <v>1</v>
      </c>
      <c r="F14">
        <v>0</v>
      </c>
      <c r="G14">
        <v>65535</v>
      </c>
      <c r="H14">
        <v>65300</v>
      </c>
      <c r="I14" t="s">
        <v>182</v>
      </c>
      <c r="J14" t="s">
        <v>223</v>
      </c>
      <c r="K14">
        <v>0</v>
      </c>
      <c r="L14" t="s">
        <v>214</v>
      </c>
    </row>
    <row r="15" spans="3:13" x14ac:dyDescent="0.3">
      <c r="D15" t="s">
        <v>232</v>
      </c>
      <c r="E15" s="2">
        <v>1</v>
      </c>
      <c r="F15">
        <v>0</v>
      </c>
      <c r="G15">
        <v>65535</v>
      </c>
      <c r="H15">
        <v>50</v>
      </c>
      <c r="I15" t="s">
        <v>181</v>
      </c>
      <c r="J15" t="s">
        <v>180</v>
      </c>
      <c r="K15">
        <v>0</v>
      </c>
      <c r="L15" t="s">
        <v>215</v>
      </c>
    </row>
    <row r="16" spans="3:13" x14ac:dyDescent="0.3">
      <c r="D16" t="s">
        <v>233</v>
      </c>
      <c r="E16" s="2">
        <v>1</v>
      </c>
      <c r="F16">
        <v>1</v>
      </c>
      <c r="G16">
        <v>65535</v>
      </c>
      <c r="H16">
        <v>10000</v>
      </c>
      <c r="I16" t="s">
        <v>181</v>
      </c>
      <c r="J16" t="s">
        <v>180</v>
      </c>
      <c r="K16">
        <v>0</v>
      </c>
      <c r="L16" t="s">
        <v>216</v>
      </c>
    </row>
    <row r="17" spans="4:13" x14ac:dyDescent="0.3">
      <c r="D17" t="s">
        <v>234</v>
      </c>
      <c r="E17" s="2">
        <v>1</v>
      </c>
      <c r="F17">
        <v>1</v>
      </c>
      <c r="G17">
        <v>65535</v>
      </c>
      <c r="H17">
        <v>600</v>
      </c>
      <c r="I17" t="s">
        <v>181</v>
      </c>
      <c r="J17" t="s">
        <v>180</v>
      </c>
      <c r="K17">
        <v>0</v>
      </c>
      <c r="L17" t="s">
        <v>217</v>
      </c>
    </row>
    <row r="18" spans="4:13" x14ac:dyDescent="0.3">
      <c r="D18" t="s">
        <v>248</v>
      </c>
      <c r="E18" s="2">
        <v>1</v>
      </c>
      <c r="F18">
        <v>0</v>
      </c>
      <c r="G18">
        <v>65535</v>
      </c>
      <c r="H18">
        <v>5</v>
      </c>
      <c r="I18" t="s">
        <v>182</v>
      </c>
      <c r="J18" t="s">
        <v>202</v>
      </c>
      <c r="K18">
        <v>0</v>
      </c>
      <c r="L18" t="s">
        <v>249</v>
      </c>
      <c r="M18" t="s">
        <v>247</v>
      </c>
    </row>
    <row r="19" spans="4:13" x14ac:dyDescent="0.3">
      <c r="D19" t="s">
        <v>235</v>
      </c>
      <c r="E19" s="2">
        <v>1</v>
      </c>
      <c r="F19">
        <v>0</v>
      </c>
      <c r="G19">
        <v>65535</v>
      </c>
      <c r="H19">
        <v>2</v>
      </c>
      <c r="I19" t="s">
        <v>182</v>
      </c>
      <c r="J19" t="s">
        <v>180</v>
      </c>
      <c r="K19">
        <v>0</v>
      </c>
      <c r="L19" t="s">
        <v>218</v>
      </c>
    </row>
    <row r="20" spans="4:13" x14ac:dyDescent="0.3">
      <c r="D20" t="s">
        <v>236</v>
      </c>
      <c r="E20" s="2">
        <v>1</v>
      </c>
      <c r="F20">
        <v>0</v>
      </c>
      <c r="G20">
        <v>65535</v>
      </c>
      <c r="H20">
        <v>65300</v>
      </c>
      <c r="I20" t="s">
        <v>182</v>
      </c>
      <c r="J20" t="s">
        <v>223</v>
      </c>
      <c r="K20">
        <v>0</v>
      </c>
      <c r="L20" t="s">
        <v>219</v>
      </c>
    </row>
    <row r="21" spans="4:13" x14ac:dyDescent="0.3">
      <c r="D21" t="s">
        <v>237</v>
      </c>
      <c r="E21" s="2">
        <v>1</v>
      </c>
      <c r="F21">
        <v>0</v>
      </c>
      <c r="G21">
        <v>65535</v>
      </c>
      <c r="H21">
        <v>50</v>
      </c>
      <c r="I21" t="s">
        <v>181</v>
      </c>
      <c r="J21" t="s">
        <v>180</v>
      </c>
      <c r="K21">
        <v>0</v>
      </c>
      <c r="L21" t="s">
        <v>220</v>
      </c>
    </row>
    <row r="22" spans="4:13" x14ac:dyDescent="0.3">
      <c r="D22" t="s">
        <v>238</v>
      </c>
      <c r="E22" s="2">
        <v>1</v>
      </c>
      <c r="F22">
        <v>1</v>
      </c>
      <c r="G22">
        <v>65535</v>
      </c>
      <c r="H22">
        <v>10000</v>
      </c>
      <c r="I22" t="s">
        <v>181</v>
      </c>
      <c r="J22" t="s">
        <v>180</v>
      </c>
      <c r="K22">
        <v>0</v>
      </c>
      <c r="L22" t="s">
        <v>221</v>
      </c>
    </row>
    <row r="23" spans="4:13" x14ac:dyDescent="0.3">
      <c r="D23" t="s">
        <v>239</v>
      </c>
      <c r="E23" s="2">
        <v>1</v>
      </c>
      <c r="F23">
        <v>1</v>
      </c>
      <c r="G23">
        <v>65535</v>
      </c>
      <c r="H23">
        <v>600</v>
      </c>
      <c r="I23" t="s">
        <v>181</v>
      </c>
      <c r="J23" t="s">
        <v>180</v>
      </c>
      <c r="K23">
        <v>0</v>
      </c>
      <c r="L23" t="s">
        <v>222</v>
      </c>
    </row>
    <row r="24" spans="4:13" x14ac:dyDescent="0.3">
      <c r="D24" t="s">
        <v>250</v>
      </c>
      <c r="E24" s="2">
        <v>1</v>
      </c>
      <c r="F24">
        <v>0</v>
      </c>
      <c r="G24">
        <v>65535</v>
      </c>
      <c r="H24">
        <v>5</v>
      </c>
      <c r="I24" t="s">
        <v>182</v>
      </c>
      <c r="J24" t="s">
        <v>202</v>
      </c>
      <c r="K24">
        <v>0</v>
      </c>
      <c r="L24" t="s">
        <v>251</v>
      </c>
      <c r="M24" t="s">
        <v>247</v>
      </c>
    </row>
    <row r="25" spans="4:13" x14ac:dyDescent="0.3">
      <c r="D25" t="s">
        <v>124</v>
      </c>
      <c r="E25" s="2">
        <v>1</v>
      </c>
      <c r="F25">
        <v>0</v>
      </c>
      <c r="G25">
        <v>65535</v>
      </c>
      <c r="H25">
        <v>0</v>
      </c>
      <c r="I25" t="s">
        <v>181</v>
      </c>
      <c r="J25" t="s">
        <v>180</v>
      </c>
      <c r="K25">
        <v>0</v>
      </c>
      <c r="M25" t="s">
        <v>107</v>
      </c>
    </row>
    <row r="26" spans="4:13" x14ac:dyDescent="0.3">
      <c r="D26" t="s">
        <v>125</v>
      </c>
      <c r="E26" s="2">
        <v>1</v>
      </c>
      <c r="F26">
        <v>0</v>
      </c>
      <c r="G26">
        <v>65535</v>
      </c>
      <c r="H26">
        <v>0</v>
      </c>
      <c r="I26" t="s">
        <v>181</v>
      </c>
      <c r="J26" t="s">
        <v>180</v>
      </c>
      <c r="K26">
        <v>0</v>
      </c>
      <c r="M26" t="s">
        <v>107</v>
      </c>
    </row>
    <row r="27" spans="4:13" x14ac:dyDescent="0.3">
      <c r="D27" t="s">
        <v>126</v>
      </c>
      <c r="E27" s="2">
        <v>1</v>
      </c>
      <c r="F27">
        <v>0</v>
      </c>
      <c r="G27">
        <v>65535</v>
      </c>
      <c r="H27">
        <v>0</v>
      </c>
      <c r="I27" t="s">
        <v>181</v>
      </c>
      <c r="J27" t="s">
        <v>180</v>
      </c>
      <c r="K27">
        <v>0</v>
      </c>
      <c r="M27" t="s">
        <v>107</v>
      </c>
    </row>
    <row r="28" spans="4:13" x14ac:dyDescent="0.3">
      <c r="D28" t="s">
        <v>127</v>
      </c>
      <c r="E28" s="2">
        <v>1</v>
      </c>
      <c r="F28">
        <v>0</v>
      </c>
      <c r="G28">
        <v>65535</v>
      </c>
      <c r="H28">
        <v>0</v>
      </c>
      <c r="I28" t="s">
        <v>181</v>
      </c>
      <c r="J28" t="s">
        <v>180</v>
      </c>
      <c r="K28">
        <v>0</v>
      </c>
      <c r="M28" t="s">
        <v>107</v>
      </c>
    </row>
    <row r="29" spans="4:13" x14ac:dyDescent="0.3">
      <c r="D29" t="s">
        <v>123</v>
      </c>
      <c r="E29" s="2">
        <v>1</v>
      </c>
      <c r="F29">
        <v>0</v>
      </c>
      <c r="G29">
        <v>65535</v>
      </c>
      <c r="H29">
        <v>1</v>
      </c>
      <c r="I29" t="s">
        <v>181</v>
      </c>
      <c r="J29" t="s">
        <v>180</v>
      </c>
      <c r="K29">
        <v>0</v>
      </c>
    </row>
    <row r="30" spans="4:13" x14ac:dyDescent="0.3">
      <c r="D30" t="s">
        <v>142</v>
      </c>
      <c r="E30" s="2">
        <v>1</v>
      </c>
      <c r="F30">
        <v>0</v>
      </c>
      <c r="G30">
        <v>65535</v>
      </c>
      <c r="H30">
        <v>1</v>
      </c>
      <c r="I30" t="s">
        <v>181</v>
      </c>
      <c r="J30" t="s">
        <v>180</v>
      </c>
      <c r="K30">
        <v>0</v>
      </c>
      <c r="M30" t="s">
        <v>171</v>
      </c>
    </row>
    <row r="31" spans="4:13" x14ac:dyDescent="0.3">
      <c r="D31" t="s">
        <v>143</v>
      </c>
      <c r="E31" s="2">
        <v>1</v>
      </c>
      <c r="F31">
        <v>0</v>
      </c>
      <c r="G31">
        <v>65535</v>
      </c>
      <c r="H31">
        <v>1</v>
      </c>
      <c r="I31" t="s">
        <v>181</v>
      </c>
      <c r="J31" t="s">
        <v>180</v>
      </c>
      <c r="K31">
        <v>0</v>
      </c>
      <c r="M31" t="s">
        <v>174</v>
      </c>
    </row>
    <row r="32" spans="4:13" x14ac:dyDescent="0.3">
      <c r="D32" t="s">
        <v>144</v>
      </c>
      <c r="E32" s="2">
        <v>1</v>
      </c>
      <c r="F32">
        <v>0</v>
      </c>
      <c r="G32">
        <v>65535</v>
      </c>
      <c r="H32">
        <v>1</v>
      </c>
      <c r="I32" t="s">
        <v>181</v>
      </c>
      <c r="J32" t="s">
        <v>180</v>
      </c>
      <c r="K32">
        <v>0</v>
      </c>
      <c r="M32" t="s">
        <v>173</v>
      </c>
    </row>
    <row r="33" spans="4:13" x14ac:dyDescent="0.3">
      <c r="D33" t="s">
        <v>145</v>
      </c>
      <c r="E33" s="2">
        <v>1</v>
      </c>
      <c r="F33">
        <v>0</v>
      </c>
      <c r="G33">
        <v>65535</v>
      </c>
      <c r="H33" s="3">
        <v>1</v>
      </c>
      <c r="I33" t="s">
        <v>181</v>
      </c>
      <c r="J33" t="s">
        <v>180</v>
      </c>
      <c r="K33">
        <v>0</v>
      </c>
      <c r="M33" t="s">
        <v>172</v>
      </c>
    </row>
    <row r="34" spans="4:13" x14ac:dyDescent="0.3">
      <c r="D34" t="s">
        <v>183</v>
      </c>
      <c r="E34" s="2">
        <v>1</v>
      </c>
      <c r="F34">
        <v>0</v>
      </c>
      <c r="G34">
        <v>8</v>
      </c>
      <c r="H34" s="3">
        <v>0</v>
      </c>
      <c r="I34" t="s">
        <v>181</v>
      </c>
      <c r="J34" t="s">
        <v>180</v>
      </c>
      <c r="K34">
        <v>0</v>
      </c>
      <c r="L34" t="s">
        <v>203</v>
      </c>
      <c r="M34" t="s">
        <v>195</v>
      </c>
    </row>
    <row r="35" spans="4:13" x14ac:dyDescent="0.3">
      <c r="D35" t="s">
        <v>184</v>
      </c>
      <c r="E35" s="2">
        <v>1</v>
      </c>
      <c r="F35">
        <v>0</v>
      </c>
      <c r="G35">
        <v>65535</v>
      </c>
      <c r="H35" s="3">
        <v>0</v>
      </c>
      <c r="I35" t="s">
        <v>181</v>
      </c>
      <c r="J35" t="s">
        <v>180</v>
      </c>
      <c r="K35">
        <v>0</v>
      </c>
      <c r="L35" t="s">
        <v>204</v>
      </c>
      <c r="M35" t="s">
        <v>194</v>
      </c>
    </row>
    <row r="36" spans="4:13" x14ac:dyDescent="0.3">
      <c r="D36" t="s">
        <v>185</v>
      </c>
      <c r="E36" s="2">
        <v>1</v>
      </c>
      <c r="F36">
        <v>0</v>
      </c>
      <c r="G36">
        <v>65535</v>
      </c>
      <c r="H36" s="3">
        <v>0</v>
      </c>
      <c r="I36" t="s">
        <v>181</v>
      </c>
      <c r="J36" t="s">
        <v>180</v>
      </c>
      <c r="K36">
        <v>0</v>
      </c>
      <c r="L36" t="s">
        <v>205</v>
      </c>
      <c r="M36" t="s">
        <v>193</v>
      </c>
    </row>
    <row r="37" spans="4:13" x14ac:dyDescent="0.3">
      <c r="D37" t="s">
        <v>186</v>
      </c>
      <c r="E37" s="2">
        <v>1</v>
      </c>
      <c r="F37">
        <v>0</v>
      </c>
      <c r="G37">
        <v>65535</v>
      </c>
      <c r="H37" s="3" t="s">
        <v>192</v>
      </c>
      <c r="I37" t="s">
        <v>182</v>
      </c>
      <c r="J37" t="s">
        <v>202</v>
      </c>
      <c r="K37">
        <v>0</v>
      </c>
      <c r="L37" t="s">
        <v>206</v>
      </c>
      <c r="M37" t="s">
        <v>196</v>
      </c>
    </row>
    <row r="38" spans="4:13" x14ac:dyDescent="0.3">
      <c r="D38" t="s">
        <v>187</v>
      </c>
      <c r="E38" s="2">
        <v>1</v>
      </c>
      <c r="F38">
        <v>0</v>
      </c>
      <c r="G38">
        <v>65535</v>
      </c>
      <c r="H38" s="3" t="s">
        <v>192</v>
      </c>
      <c r="I38" t="s">
        <v>182</v>
      </c>
      <c r="J38" t="s">
        <v>202</v>
      </c>
      <c r="K38">
        <v>0</v>
      </c>
      <c r="L38" t="s">
        <v>207</v>
      </c>
      <c r="M38" t="s">
        <v>197</v>
      </c>
    </row>
    <row r="39" spans="4:13" x14ac:dyDescent="0.3">
      <c r="D39" t="s">
        <v>188</v>
      </c>
      <c r="E39" s="2">
        <v>1</v>
      </c>
      <c r="F39">
        <v>0</v>
      </c>
      <c r="G39">
        <v>65535</v>
      </c>
      <c r="H39" s="3" t="s">
        <v>192</v>
      </c>
      <c r="I39" t="s">
        <v>182</v>
      </c>
      <c r="J39" t="s">
        <v>202</v>
      </c>
      <c r="K39">
        <v>0</v>
      </c>
      <c r="L39" t="s">
        <v>208</v>
      </c>
      <c r="M39" t="s">
        <v>198</v>
      </c>
    </row>
    <row r="40" spans="4:13" x14ac:dyDescent="0.3">
      <c r="D40" t="s">
        <v>189</v>
      </c>
      <c r="E40" s="2">
        <v>1</v>
      </c>
      <c r="F40">
        <v>0</v>
      </c>
      <c r="G40">
        <v>65535</v>
      </c>
      <c r="H40" s="3" t="s">
        <v>253</v>
      </c>
      <c r="I40" t="s">
        <v>182</v>
      </c>
      <c r="J40" t="s">
        <v>202</v>
      </c>
      <c r="K40">
        <v>0</v>
      </c>
      <c r="L40" t="s">
        <v>209</v>
      </c>
      <c r="M40" t="s">
        <v>199</v>
      </c>
    </row>
    <row r="41" spans="4:13" x14ac:dyDescent="0.3">
      <c r="D41" t="s">
        <v>190</v>
      </c>
      <c r="E41" s="2">
        <v>1</v>
      </c>
      <c r="F41">
        <v>0</v>
      </c>
      <c r="G41">
        <v>65535</v>
      </c>
      <c r="H41" s="3" t="s">
        <v>253</v>
      </c>
      <c r="I41" t="s">
        <v>182</v>
      </c>
      <c r="J41" t="s">
        <v>202</v>
      </c>
      <c r="K41">
        <v>0</v>
      </c>
      <c r="L41" t="s">
        <v>210</v>
      </c>
      <c r="M41" t="s">
        <v>200</v>
      </c>
    </row>
    <row r="42" spans="4:13" x14ac:dyDescent="0.3">
      <c r="D42" t="s">
        <v>191</v>
      </c>
      <c r="E42" s="2">
        <v>1</v>
      </c>
      <c r="F42">
        <v>0</v>
      </c>
      <c r="G42">
        <v>65535</v>
      </c>
      <c r="H42" s="3" t="s">
        <v>253</v>
      </c>
      <c r="I42" t="s">
        <v>182</v>
      </c>
      <c r="J42" t="s">
        <v>202</v>
      </c>
      <c r="K42">
        <v>0</v>
      </c>
      <c r="L42" t="s">
        <v>211</v>
      </c>
      <c r="M42" t="s">
        <v>201</v>
      </c>
    </row>
    <row r="43" spans="4:13" x14ac:dyDescent="0.3">
      <c r="D43" t="s">
        <v>263</v>
      </c>
      <c r="E43" s="2">
        <v>1</v>
      </c>
      <c r="F43">
        <v>0</v>
      </c>
      <c r="G43">
        <v>65535</v>
      </c>
      <c r="H43" t="s">
        <v>260</v>
      </c>
      <c r="I43" t="s">
        <v>182</v>
      </c>
      <c r="J43" t="s">
        <v>180</v>
      </c>
      <c r="K43">
        <v>0</v>
      </c>
      <c r="L43" t="s">
        <v>261</v>
      </c>
      <c r="M43" t="s">
        <v>262</v>
      </c>
    </row>
    <row r="44" spans="4:13" x14ac:dyDescent="0.3">
      <c r="D44" t="s">
        <v>264</v>
      </c>
      <c r="E44" s="2">
        <v>1</v>
      </c>
      <c r="F44">
        <v>0</v>
      </c>
      <c r="G44">
        <v>65535</v>
      </c>
      <c r="H44" t="s">
        <v>260</v>
      </c>
      <c r="I44" t="s">
        <v>182</v>
      </c>
      <c r="J44" t="s">
        <v>180</v>
      </c>
      <c r="K44">
        <v>0</v>
      </c>
      <c r="L44" t="s">
        <v>265</v>
      </c>
      <c r="M44" t="s">
        <v>262</v>
      </c>
    </row>
    <row r="45" spans="4:13" x14ac:dyDescent="0.3">
      <c r="D45" t="s">
        <v>259</v>
      </c>
      <c r="E45" s="2">
        <v>1</v>
      </c>
      <c r="F45">
        <v>0</v>
      </c>
      <c r="G45">
        <v>65535</v>
      </c>
      <c r="H45" t="s">
        <v>260</v>
      </c>
      <c r="I45" t="s">
        <v>182</v>
      </c>
      <c r="J45" t="s">
        <v>180</v>
      </c>
      <c r="K45">
        <v>0</v>
      </c>
      <c r="L45" t="s">
        <v>266</v>
      </c>
      <c r="M45" t="s">
        <v>262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8"/>
  <sheetViews>
    <sheetView topLeftCell="A15" zoomScale="90" workbookViewId="0">
      <pane xSplit="3" ySplit="7" topLeftCell="D22" activePane="bottomRight" state="frozen"/>
      <selection activeCell="A15" sqref="A15"/>
      <selection pane="topRight" activeCell="D15" sqref="D15"/>
      <selection pane="bottomLeft" activeCell="A22" sqref="A22"/>
      <selection pane="bottomRight" activeCell="H42" sqref="H42"/>
    </sheetView>
  </sheetViews>
  <sheetFormatPr baseColWidth="10" defaultRowHeight="14.4" x14ac:dyDescent="0.3"/>
  <cols>
    <col min="3" max="3" width="50.88671875" customWidth="1"/>
    <col min="4" max="4" width="13.21875" customWidth="1"/>
    <col min="5" max="5" width="38.77734375" customWidth="1"/>
    <col min="6" max="6" width="17.77734375" customWidth="1"/>
    <col min="7" max="7" width="21.8867187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1" x14ac:dyDescent="0.3">
      <c r="B21" t="s">
        <v>42</v>
      </c>
      <c r="C21" t="s">
        <v>35</v>
      </c>
      <c r="D21" t="s">
        <v>87</v>
      </c>
      <c r="E21" t="s">
        <v>88</v>
      </c>
      <c r="F21" t="s">
        <v>36</v>
      </c>
      <c r="G21" t="s">
        <v>37</v>
      </c>
      <c r="H21" t="s">
        <v>38</v>
      </c>
      <c r="I21" t="s">
        <v>39</v>
      </c>
      <c r="J21" t="s">
        <v>40</v>
      </c>
      <c r="K21" t="s">
        <v>41</v>
      </c>
    </row>
    <row r="22" spans="2:11" x14ac:dyDescent="0.3">
      <c r="B22">
        <v>0</v>
      </c>
      <c r="C22" t="s">
        <v>50</v>
      </c>
      <c r="D22">
        <v>0</v>
      </c>
      <c r="F22" t="s">
        <v>32</v>
      </c>
      <c r="G22" t="s">
        <v>32</v>
      </c>
      <c r="I22" t="s">
        <v>51</v>
      </c>
      <c r="J22" t="s">
        <v>71</v>
      </c>
    </row>
    <row r="23" spans="2:11" x14ac:dyDescent="0.3">
      <c r="B23">
        <f>1+B22</f>
        <v>1</v>
      </c>
      <c r="C23" t="s">
        <v>89</v>
      </c>
      <c r="D23">
        <v>20</v>
      </c>
      <c r="E23">
        <v>3000</v>
      </c>
      <c r="F23" t="s">
        <v>32</v>
      </c>
      <c r="G23" t="s">
        <v>32</v>
      </c>
      <c r="I23" t="s">
        <v>90</v>
      </c>
    </row>
    <row r="24" spans="2:11" x14ac:dyDescent="0.3">
      <c r="B24">
        <f t="shared" ref="B24:B34" si="0">1+B23</f>
        <v>2</v>
      </c>
      <c r="C24" t="s">
        <v>91</v>
      </c>
      <c r="D24">
        <v>20</v>
      </c>
      <c r="E24">
        <v>3000</v>
      </c>
      <c r="F24" t="s">
        <v>32</v>
      </c>
      <c r="G24" t="s">
        <v>32</v>
      </c>
      <c r="I24" t="s">
        <v>92</v>
      </c>
    </row>
    <row r="25" spans="2:11" x14ac:dyDescent="0.3">
      <c r="B25">
        <f t="shared" si="0"/>
        <v>3</v>
      </c>
      <c r="C25" t="s">
        <v>72</v>
      </c>
      <c r="D25">
        <v>5</v>
      </c>
      <c r="E25">
        <v>5000</v>
      </c>
      <c r="F25" t="s">
        <v>32</v>
      </c>
      <c r="G25" t="s">
        <v>32</v>
      </c>
      <c r="I25" t="s">
        <v>77</v>
      </c>
      <c r="J25" t="s">
        <v>82</v>
      </c>
    </row>
    <row r="26" spans="2:11" x14ac:dyDescent="0.3">
      <c r="B26">
        <f t="shared" si="0"/>
        <v>4</v>
      </c>
      <c r="C26" t="s">
        <v>73</v>
      </c>
      <c r="D26">
        <v>5</v>
      </c>
      <c r="E26">
        <v>5000</v>
      </c>
      <c r="F26" t="s">
        <v>32</v>
      </c>
      <c r="G26" t="s">
        <v>32</v>
      </c>
      <c r="I26" t="s">
        <v>51</v>
      </c>
      <c r="J26" t="s">
        <v>81</v>
      </c>
    </row>
    <row r="27" spans="2:11" x14ac:dyDescent="0.3">
      <c r="B27">
        <f t="shared" si="0"/>
        <v>5</v>
      </c>
      <c r="C27" t="s">
        <v>74</v>
      </c>
      <c r="D27">
        <v>5</v>
      </c>
      <c r="E27">
        <v>5000</v>
      </c>
      <c r="F27" t="s">
        <v>32</v>
      </c>
      <c r="G27" t="s">
        <v>32</v>
      </c>
      <c r="I27" t="s">
        <v>79</v>
      </c>
      <c r="J27" t="s">
        <v>80</v>
      </c>
    </row>
    <row r="28" spans="2:11" x14ac:dyDescent="0.3">
      <c r="B28">
        <f t="shared" si="0"/>
        <v>6</v>
      </c>
      <c r="C28" t="s">
        <v>75</v>
      </c>
      <c r="D28">
        <v>5</v>
      </c>
      <c r="E28">
        <v>5000</v>
      </c>
      <c r="F28" t="s">
        <v>32</v>
      </c>
      <c r="G28" t="s">
        <v>32</v>
      </c>
      <c r="I28" t="s">
        <v>51</v>
      </c>
      <c r="J28" t="s">
        <v>70</v>
      </c>
    </row>
    <row r="29" spans="2:11" x14ac:dyDescent="0.3">
      <c r="B29">
        <f t="shared" si="0"/>
        <v>7</v>
      </c>
      <c r="C29" t="s">
        <v>84</v>
      </c>
      <c r="D29">
        <v>5</v>
      </c>
      <c r="E29">
        <v>5000</v>
      </c>
      <c r="F29" t="s">
        <v>32</v>
      </c>
      <c r="G29" t="s">
        <v>32</v>
      </c>
      <c r="I29" t="s">
        <v>85</v>
      </c>
      <c r="J29" t="s">
        <v>86</v>
      </c>
    </row>
    <row r="30" spans="2:11" x14ac:dyDescent="0.3">
      <c r="B30">
        <f t="shared" si="0"/>
        <v>8</v>
      </c>
      <c r="C30" t="s">
        <v>76</v>
      </c>
      <c r="D30">
        <v>5</v>
      </c>
      <c r="E30">
        <v>5000</v>
      </c>
      <c r="F30" t="s">
        <v>32</v>
      </c>
      <c r="G30" t="s">
        <v>32</v>
      </c>
      <c r="I30" t="s">
        <v>78</v>
      </c>
      <c r="J30" t="s">
        <v>83</v>
      </c>
    </row>
    <row r="31" spans="2:11" x14ac:dyDescent="0.3">
      <c r="B31">
        <f t="shared" si="0"/>
        <v>9</v>
      </c>
      <c r="C31" t="s">
        <v>54</v>
      </c>
      <c r="D31">
        <v>5</v>
      </c>
      <c r="E31">
        <v>100</v>
      </c>
      <c r="F31" t="s">
        <v>33</v>
      </c>
      <c r="G31" t="s">
        <v>33</v>
      </c>
      <c r="I31" t="s">
        <v>52</v>
      </c>
      <c r="J31" t="s">
        <v>53</v>
      </c>
    </row>
    <row r="32" spans="2:11" x14ac:dyDescent="0.3">
      <c r="B32">
        <f t="shared" si="0"/>
        <v>10</v>
      </c>
      <c r="C32" t="s">
        <v>55</v>
      </c>
      <c r="D32">
        <v>5</v>
      </c>
      <c r="E32">
        <v>100</v>
      </c>
      <c r="F32" t="s">
        <v>33</v>
      </c>
      <c r="G32" t="s">
        <v>33</v>
      </c>
      <c r="I32" t="s">
        <v>52</v>
      </c>
      <c r="J32" t="s">
        <v>53</v>
      </c>
    </row>
    <row r="33" spans="2:10" x14ac:dyDescent="0.3">
      <c r="B33">
        <f t="shared" si="0"/>
        <v>11</v>
      </c>
      <c r="C33" t="s">
        <v>56</v>
      </c>
      <c r="D33">
        <v>5</v>
      </c>
      <c r="E33">
        <v>200</v>
      </c>
      <c r="F33" t="s">
        <v>33</v>
      </c>
      <c r="G33" t="s">
        <v>32</v>
      </c>
      <c r="I33" t="s">
        <v>57</v>
      </c>
    </row>
    <row r="34" spans="2:10" x14ac:dyDescent="0.3">
      <c r="B34">
        <f t="shared" si="0"/>
        <v>12</v>
      </c>
      <c r="C34" t="s">
        <v>67</v>
      </c>
      <c r="D34">
        <v>5</v>
      </c>
      <c r="E34">
        <v>100</v>
      </c>
      <c r="F34" t="s">
        <v>33</v>
      </c>
      <c r="G34" t="s">
        <v>32</v>
      </c>
      <c r="I34" t="s">
        <v>68</v>
      </c>
      <c r="J34" t="s">
        <v>69</v>
      </c>
    </row>
    <row r="35" spans="2:10" x14ac:dyDescent="0.3">
      <c r="B35">
        <v>13</v>
      </c>
      <c r="C35" t="s">
        <v>161</v>
      </c>
      <c r="D35">
        <v>0</v>
      </c>
      <c r="E35">
        <v>500</v>
      </c>
      <c r="F35" t="s">
        <v>32</v>
      </c>
      <c r="G35" t="s">
        <v>32</v>
      </c>
      <c r="H35" t="s">
        <v>147</v>
      </c>
      <c r="I35" t="s">
        <v>162</v>
      </c>
    </row>
    <row r="36" spans="2:10" x14ac:dyDescent="0.3">
      <c r="B36">
        <v>13</v>
      </c>
      <c r="C36" t="s">
        <v>163</v>
      </c>
      <c r="D36">
        <v>0</v>
      </c>
      <c r="E36">
        <v>500</v>
      </c>
      <c r="F36" t="s">
        <v>32</v>
      </c>
      <c r="G36" t="s">
        <v>32</v>
      </c>
      <c r="H36" t="s">
        <v>148</v>
      </c>
      <c r="I36" t="s">
        <v>162</v>
      </c>
    </row>
    <row r="37" spans="2:10" x14ac:dyDescent="0.3">
      <c r="B37">
        <v>13</v>
      </c>
      <c r="C37" t="s">
        <v>164</v>
      </c>
      <c r="D37">
        <v>0</v>
      </c>
      <c r="E37">
        <v>500</v>
      </c>
      <c r="F37" t="s">
        <v>32</v>
      </c>
      <c r="G37" t="s">
        <v>32</v>
      </c>
      <c r="H37" t="s">
        <v>150</v>
      </c>
      <c r="I37" t="s">
        <v>162</v>
      </c>
    </row>
    <row r="38" spans="2:10" x14ac:dyDescent="0.3">
      <c r="B38">
        <v>13</v>
      </c>
      <c r="C38" t="s">
        <v>165</v>
      </c>
      <c r="D38">
        <v>0</v>
      </c>
      <c r="E38">
        <v>500</v>
      </c>
      <c r="F38" t="s">
        <v>32</v>
      </c>
      <c r="G38" t="s">
        <v>32</v>
      </c>
      <c r="H38" t="s">
        <v>152</v>
      </c>
      <c r="I38" t="s">
        <v>162</v>
      </c>
    </row>
  </sheetData>
  <dataValidations count="1">
    <dataValidation type="list" allowBlank="1" showInputMessage="1" showErrorMessage="1" sqref="F22:G38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DiagStrategy!$C$8:$C$11</xm:f>
          </x14:formula1>
          <xm:sqref>H22:H38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C2" workbookViewId="0">
      <selection activeCell="E18" sqref="E18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44</v>
      </c>
      <c r="D7" t="s">
        <v>43</v>
      </c>
      <c r="E7" t="s">
        <v>47</v>
      </c>
      <c r="F7" t="s">
        <v>48</v>
      </c>
      <c r="G7" t="s">
        <v>49</v>
      </c>
    </row>
    <row r="8" spans="3:7" x14ac:dyDescent="0.3">
      <c r="C8" t="s">
        <v>147</v>
      </c>
      <c r="D8" t="s">
        <v>146</v>
      </c>
      <c r="E8" t="s">
        <v>154</v>
      </c>
      <c r="F8" t="s">
        <v>155</v>
      </c>
      <c r="G8" t="s">
        <v>156</v>
      </c>
    </row>
    <row r="9" spans="3:7" x14ac:dyDescent="0.3">
      <c r="C9" t="s">
        <v>148</v>
      </c>
      <c r="D9" t="s">
        <v>149</v>
      </c>
      <c r="E9" t="s">
        <v>154</v>
      </c>
    </row>
    <row r="10" spans="3:7" x14ac:dyDescent="0.3">
      <c r="C10" t="s">
        <v>150</v>
      </c>
      <c r="D10" t="s">
        <v>151</v>
      </c>
      <c r="E10" t="s">
        <v>155</v>
      </c>
    </row>
    <row r="11" spans="3:7" x14ac:dyDescent="0.3">
      <c r="C11" t="s">
        <v>152</v>
      </c>
      <c r="D11" t="s">
        <v>153</v>
      </c>
      <c r="E11" t="s">
        <v>156</v>
      </c>
    </row>
    <row r="18" spans="6:6" x14ac:dyDescent="0.3">
      <c r="F18" t="s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G19"/>
  <sheetViews>
    <sheetView zoomScale="75" workbookViewId="0">
      <selection activeCell="E15" sqref="E15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7" x14ac:dyDescent="0.3">
      <c r="C5" t="s">
        <v>45</v>
      </c>
      <c r="D5" t="s">
        <v>6</v>
      </c>
    </row>
    <row r="6" spans="3:7" x14ac:dyDescent="0.3">
      <c r="C6" t="s">
        <v>157</v>
      </c>
      <c r="D6" t="s">
        <v>63</v>
      </c>
    </row>
    <row r="16" spans="3:7" x14ac:dyDescent="0.3">
      <c r="F16" t="s">
        <v>46</v>
      </c>
      <c r="G16" t="s">
        <v>6</v>
      </c>
    </row>
    <row r="17" spans="6:7" x14ac:dyDescent="0.3">
      <c r="F17" t="s">
        <v>154</v>
      </c>
      <c r="G17" t="s">
        <v>158</v>
      </c>
    </row>
    <row r="18" spans="6:7" x14ac:dyDescent="0.3">
      <c r="F18" t="s">
        <v>155</v>
      </c>
      <c r="G18" t="s">
        <v>160</v>
      </c>
    </row>
    <row r="19" spans="6:7" x14ac:dyDescent="0.3">
      <c r="F19" t="s">
        <v>156</v>
      </c>
      <c r="G19" t="s">
        <v>159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Machine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(M2_NANTES IPA_2026)</cp:lastModifiedBy>
  <dcterms:created xsi:type="dcterms:W3CDTF">2024-03-11T17:08:10Z</dcterms:created>
  <dcterms:modified xsi:type="dcterms:W3CDTF">2025-11-15T09:39:57Z</dcterms:modified>
</cp:coreProperties>
</file>